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CENARIO_PARAMS" sheetId="2" state="visible" r:id="rId4"/>
    <sheet name="PORTFOLIO_EXPOSURE" sheetId="3" state="visible" r:id="rId5"/>
    <sheet name="PD_MIGRATION_MATRIX" sheetId="4" state="visible" r:id="rId6"/>
    <sheet name="HEATMAP_EL" sheetId="5" state="visible" r:id="rId7"/>
    <sheet name="BCST_RULES" sheetId="6" state="visible" r:id="rId8"/>
    <sheet name="WATERFALL_PD" sheetId="7" state="visible" r:id="rId9"/>
    <sheet name="DASHBOARD_LOOKU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<sst xmlns="http://schemas.openxmlformats.org/spreadsheetml/2006/main" count="261" uniqueCount="207">
  <si>
    <t xml:space="preserve">BCST Wholesale Credit Risk — Stress Testing Input File</t>
  </si>
  <si>
    <t xml:space="preserve">Basel Credit Stress Testing (BCST) — Data Input Workbook v1.0</t>
  </si>
  <si>
    <t xml:space="preserve">Sheet</t>
  </si>
  <si>
    <t xml:space="preserve">Description</t>
  </si>
  <si>
    <t xml:space="preserve">Color Code</t>
  </si>
  <si>
    <t xml:space="preserve">1. INSTRUCTIONS</t>
  </si>
  <si>
    <t xml:space="preserve">This sheet — file overview and color conventions</t>
  </si>
  <si>
    <t xml:space="preserve">—</t>
  </si>
  <si>
    <t xml:space="preserve">2. SCENARIO_PARAMS</t>
  </si>
  <si>
    <t xml:space="preserve">Macroeconomic stress parameters for each scenario</t>
  </si>
  <si>
    <t xml:space="preserve">Blue = inputs</t>
  </si>
  <si>
    <t xml:space="preserve">3. PORTFOLIO_EXPOSURE</t>
  </si>
  <si>
    <t xml:space="preserve">Sector-level EAD, ratings, base PD, LGD inputs</t>
  </si>
  <si>
    <t xml:space="preserve">4. PD_MIGRATION_MATRIX</t>
  </si>
  <si>
    <t xml:space="preserve">Base transition matrix (6×7 rating migration)</t>
  </si>
  <si>
    <t xml:space="preserve">5. HEATMAP_EL</t>
  </si>
  <si>
    <t xml:space="preserve">Sector × Rating EL inputs for heatmap visualisation</t>
  </si>
  <si>
    <t xml:space="preserve">6. BCST_RULES</t>
  </si>
  <si>
    <t xml:space="preserve">BCST regulatory rule thresholds and actual values</t>
  </si>
  <si>
    <t xml:space="preserve">Yellow = review</t>
  </si>
  <si>
    <t xml:space="preserve">7. WATERFALL_PD</t>
  </si>
  <si>
    <t xml:space="preserve">PD shock attribution inputs per scenario</t>
  </si>
  <si>
    <t xml:space="preserve">8. DASHBOARD_LOOKUP</t>
  </si>
  <si>
    <t xml:space="preserve">Auto-computed lookup table — DO NOT EDIT</t>
  </si>
  <si>
    <t xml:space="preserve">Black = formulas</t>
  </si>
  <si>
    <t xml:space="preserve">COLOR CONVENTIONS</t>
  </si>
  <si>
    <t xml:space="preserve">■  Blue text  — Hardcoded input (user-editable)</t>
  </si>
  <si>
    <t xml:space="preserve">■  Black text — Formula / auto-calculated cell</t>
  </si>
  <si>
    <t xml:space="preserve">■  Yellow bg  — Key assumption requiring review</t>
  </si>
  <si>
    <t xml:space="preserve">■  Green text — Cross-sheet formula link</t>
  </si>
  <si>
    <t xml:space="preserve">SCENARIO_PARAMS — Macroeconomic Stress Parameters</t>
  </si>
  <si>
    <t xml:space="preserve">Parameter</t>
  </si>
  <si>
    <t xml:space="preserve">Baseline</t>
  </si>
  <si>
    <t xml:space="preserve">Adverse</t>
  </si>
  <si>
    <t xml:space="preserve">Severely Adverse</t>
  </si>
  <si>
    <t xml:space="preserve">Custom</t>
  </si>
  <si>
    <t xml:space="preserve">Scenario ID</t>
  </si>
  <si>
    <t xml:space="preserve">BASE</t>
  </si>
  <si>
    <t xml:space="preserve">ADV</t>
  </si>
  <si>
    <t xml:space="preserve">SEV</t>
  </si>
  <si>
    <t xml:space="preserve">CUST</t>
  </si>
  <si>
    <t xml:space="preserve">Scenario Label</t>
  </si>
  <si>
    <t xml:space="preserve">Effective Date</t>
  </si>
  <si>
    <t xml:space="preserve">2025-03-31</t>
  </si>
  <si>
    <t xml:space="preserve">GDP Growth Shock (%)</t>
  </si>
  <si>
    <t xml:space="preserve">Unemployment Rate Chg (%)</t>
  </si>
  <si>
    <t xml:space="preserve">CDS Spread Widening (bps)</t>
  </si>
  <si>
    <t xml:space="preserve">NPA Movement (bps)</t>
  </si>
  <si>
    <t xml:space="preserve">Interest Rate Shock (%)</t>
  </si>
  <si>
    <t xml:space="preserve">Equity Market Decline (%)</t>
  </si>
  <si>
    <t xml:space="preserve">FX Depreciation (INR/%)</t>
  </si>
  <si>
    <t xml:space="preserve">PD Multiplier (x)</t>
  </si>
  <si>
    <t xml:space="preserve">LGD Multiplier (x)</t>
  </si>
  <si>
    <t xml:space="preserve">Collateral Haircut Uplift (%)</t>
  </si>
  <si>
    <t xml:space="preserve">Sector Correlation Stress</t>
  </si>
  <si>
    <t xml:space="preserve">Severity Level</t>
  </si>
  <si>
    <t xml:space="preserve">Mild</t>
  </si>
  <si>
    <t xml:space="preserve">Moderate</t>
  </si>
  <si>
    <t xml:space="preserve">Severe</t>
  </si>
  <si>
    <t xml:space="preserve">User</t>
  </si>
  <si>
    <t xml:space="preserve">PORTFOLIO_EXPOSURE — Sector-Level Wholesale Credit Inputs</t>
  </si>
  <si>
    <t xml:space="preserve">Sector</t>
  </si>
  <si>
    <t xml:space="preserve">EAD (₹ Cr)</t>
  </si>
  <si>
    <t xml:space="preserve">Rating</t>
  </si>
  <si>
    <t xml:space="preserve">Base PD (%)</t>
  </si>
  <si>
    <t xml:space="preserve">LGD (%)</t>
  </si>
  <si>
    <t xml:space="preserve">RWA Weight (%)</t>
  </si>
  <si>
    <t xml:space="preserve">Collateral (₹ Cr)</t>
  </si>
  <si>
    <t xml:space="preserve">Sector Code</t>
  </si>
  <si>
    <t xml:space="preserve">BCST Sector Flag</t>
  </si>
  <si>
    <t xml:space="preserve">Notes</t>
  </si>
  <si>
    <t xml:space="preserve">Infrastructure</t>
  </si>
  <si>
    <t xml:space="preserve">BBB</t>
  </si>
  <si>
    <t xml:space="preserve">INFRA</t>
  </si>
  <si>
    <t xml:space="preserve">Y</t>
  </si>
  <si>
    <t xml:space="preserve">Real Estate / NBFC</t>
  </si>
  <si>
    <t xml:space="preserve">BB</t>
  </si>
  <si>
    <t xml:space="preserve">RE_NBFC</t>
  </si>
  <si>
    <t xml:space="preserve">Steel &amp; Metals</t>
  </si>
  <si>
    <t xml:space="preserve">A</t>
  </si>
  <si>
    <t xml:space="preserve">STEEL</t>
  </si>
  <si>
    <t xml:space="preserve">Power &amp; Energy</t>
  </si>
  <si>
    <t xml:space="preserve">POWER</t>
  </si>
  <si>
    <t xml:space="preserve">Textiles</t>
  </si>
  <si>
    <t xml:space="preserve">B</t>
  </si>
  <si>
    <t xml:space="preserve">TXTL</t>
  </si>
  <si>
    <t xml:space="preserve">Telecom</t>
  </si>
  <si>
    <t xml:space="preserve">TELCO</t>
  </si>
  <si>
    <t xml:space="preserve">Chemicals / Pharma</t>
  </si>
  <si>
    <t xml:space="preserve">AA</t>
  </si>
  <si>
    <t xml:space="preserve">CHEM</t>
  </si>
  <si>
    <t xml:space="preserve">N</t>
  </si>
  <si>
    <t xml:space="preserve">Auto / Ancillaries</t>
  </si>
  <si>
    <t xml:space="preserve">AUTO</t>
  </si>
  <si>
    <t xml:space="preserve">Agri &amp; Food Processing</t>
  </si>
  <si>
    <t xml:space="preserve">AGRI</t>
  </si>
  <si>
    <t xml:space="preserve">TOTAL</t>
  </si>
  <si>
    <t xml:space="preserve">PD_MIGRATION_MATRIX — Base Annual Transition Matrix (%)</t>
  </si>
  <si>
    <t xml:space="preserve">From \ To</t>
  </si>
  <si>
    <t xml:space="preserve">→ AAA</t>
  </si>
  <si>
    <t xml:space="preserve">→ AA</t>
  </si>
  <si>
    <t xml:space="preserve">→ A</t>
  </si>
  <si>
    <t xml:space="preserve">→ BBB</t>
  </si>
  <si>
    <t xml:space="preserve">→ BB</t>
  </si>
  <si>
    <t xml:space="preserve">→ B</t>
  </si>
  <si>
    <t xml:space="preserve">→ Default</t>
  </si>
  <si>
    <t xml:space="preserve">Row Sum</t>
  </si>
  <si>
    <t xml:space="preserve">AAA</t>
  </si>
  <si>
    <t xml:space="preserve">HEATMAP_EL — Stressed EL by Sector × Rating Bucket (₹ Cr)</t>
  </si>
  <si>
    <t xml:space="preserve">Sector \ Rating</t>
  </si>
  <si>
    <t xml:space="preserve">Row Total</t>
  </si>
  <si>
    <t xml:space="preserve">Column Total</t>
  </si>
  <si>
    <t xml:space="preserve">BCST_RULES — Regulatory Rule Thresholds &amp; Compliance Tracking</t>
  </si>
  <si>
    <t xml:space="preserve">Rule Code</t>
  </si>
  <si>
    <t xml:space="preserve">Rule Name</t>
  </si>
  <si>
    <t xml:space="preserve">Threshold</t>
  </si>
  <si>
    <t xml:space="preserve">Actual Value</t>
  </si>
  <si>
    <t xml:space="preserve">Status</t>
  </si>
  <si>
    <t xml:space="preserve">BCST Reference</t>
  </si>
  <si>
    <t xml:space="preserve">BCST §3.1</t>
  </si>
  <si>
    <t xml:space="preserve">Min Stress Coverage</t>
  </si>
  <si>
    <t xml:space="preserve">Scenarios must cover ≥3 severity levels</t>
  </si>
  <si>
    <t xml:space="preserve">≥3 scenarios</t>
  </si>
  <si>
    <t xml:space="preserve">5 / 5 covered</t>
  </si>
  <si>
    <t xml:space="preserve">PASS</t>
  </si>
  <si>
    <t xml:space="preserve">BCST 2024 §3.1.2</t>
  </si>
  <si>
    <t xml:space="preserve">BCST §4.3</t>
  </si>
  <si>
    <t xml:space="preserve">Single CParty Limit</t>
  </si>
  <si>
    <t xml:space="preserve">No single exposure &gt;15% of Tier-1 Capital</t>
  </si>
  <si>
    <t xml:space="preserve">≤15% T1 Cap</t>
  </si>
  <si>
    <t xml:space="preserve">14.2%</t>
  </si>
  <si>
    <t xml:space="preserve">WARN</t>
  </si>
  <si>
    <t xml:space="preserve">BCST 2024 §4.3.1</t>
  </si>
  <si>
    <t xml:space="preserve">BCST §4.5</t>
  </si>
  <si>
    <t xml:space="preserve">Sector Conc. Cap</t>
  </si>
  <si>
    <t xml:space="preserve">NBFC/RE sector ≤20% total wholesale book</t>
  </si>
  <si>
    <t xml:space="preserve">≤20% book</t>
  </si>
  <si>
    <t xml:space="preserve">22.1%</t>
  </si>
  <si>
    <t xml:space="preserve">FAIL</t>
  </si>
  <si>
    <t xml:space="preserve">BCST 2024 §4.5.3</t>
  </si>
  <si>
    <t xml:space="preserve">BCST §5.2</t>
  </si>
  <si>
    <t xml:space="preserve">PD Floor (Stressed)</t>
  </si>
  <si>
    <t xml:space="preserve">Stressed PD floor: Inv. Grade ≥0.5%</t>
  </si>
  <si>
    <t xml:space="preserve">≥0.50% IG</t>
  </si>
  <si>
    <t xml:space="preserve">Compliant</t>
  </si>
  <si>
    <t xml:space="preserve">BCST 2024 §5.2.1</t>
  </si>
  <si>
    <t xml:space="preserve">BCST §6.1</t>
  </si>
  <si>
    <t xml:space="preserve">LGD Haircut Floor</t>
  </si>
  <si>
    <t xml:space="preserve">Collateral haircut ≥20% under adverse scenario</t>
  </si>
  <si>
    <t xml:space="preserve">≥20% haircut</t>
  </si>
  <si>
    <t xml:space="preserve">Applied 28%</t>
  </si>
  <si>
    <t xml:space="preserve">BCST 2024 §6.1.4</t>
  </si>
  <si>
    <t xml:space="preserve">BCST §7.2</t>
  </si>
  <si>
    <t xml:space="preserve">Capital Adequacy Buffer</t>
  </si>
  <si>
    <t xml:space="preserve">Post-stress CET1 must remain ≥7.5%</t>
  </si>
  <si>
    <t xml:space="preserve">≥7.5% CET1</t>
  </si>
  <si>
    <t xml:space="preserve">8.14%</t>
  </si>
  <si>
    <t xml:space="preserve">BCST 2024 §7.2.2</t>
  </si>
  <si>
    <t xml:space="preserve">BCST §8.1</t>
  </si>
  <si>
    <t xml:space="preserve">Data Completeness</t>
  </si>
  <si>
    <t xml:space="preserve">≥95% coverage of wholesale book required</t>
  </si>
  <si>
    <t xml:space="preserve">≥95% coverage</t>
  </si>
  <si>
    <t xml:space="preserve">98.4%</t>
  </si>
  <si>
    <t xml:space="preserve">BCST 2024 §8.1.1</t>
  </si>
  <si>
    <t xml:space="preserve">BCST §9.3</t>
  </si>
  <si>
    <t xml:space="preserve">Reverse Stress Test</t>
  </si>
  <si>
    <t xml:space="preserve">Reverse stress test must be conducted annually</t>
  </si>
  <si>
    <t xml:space="preserve">Annual</t>
  </si>
  <si>
    <t xml:space="preserve">Completed</t>
  </si>
  <si>
    <t xml:space="preserve">BCST 2024 §9.3.0</t>
  </si>
  <si>
    <t xml:space="preserve">WATERFALL_PD — PD Shock Attribution by Macro Driver</t>
  </si>
  <si>
    <t xml:space="preserve">PD Component</t>
  </si>
  <si>
    <t xml:space="preserve">Attribution Factor</t>
  </si>
  <si>
    <t xml:space="preserve">Baseline PD</t>
  </si>
  <si>
    <t xml:space="preserve">Starting base PD (portfolio avg)</t>
  </si>
  <si>
    <t xml:space="preserve">GDP Shock Add-on</t>
  </si>
  <si>
    <t xml:space="preserve">GDPShock×(-0.38)</t>
  </si>
  <si>
    <t xml:space="preserve">GDP contraction driver</t>
  </si>
  <si>
    <t xml:space="preserve">CDS Widening Add-on</t>
  </si>
  <si>
    <t xml:space="preserve">CDSbps×0.0032</t>
  </si>
  <si>
    <t xml:space="preserve">Credit spread widening</t>
  </si>
  <si>
    <t xml:space="preserve">NPA Contagion</t>
  </si>
  <si>
    <t xml:space="preserve">NPAbps×0.0048</t>
  </si>
  <si>
    <t xml:space="preserve">NPA propagation effect</t>
  </si>
  <si>
    <t xml:space="preserve">Rate Shock Add-on</t>
  </si>
  <si>
    <t xml:space="preserve">RateShock×0.16</t>
  </si>
  <si>
    <t xml:space="preserve">Interest rate stress</t>
  </si>
  <si>
    <t xml:space="preserve">Stressed PD (Total)</t>
  </si>
  <si>
    <t xml:space="preserve">Σ all components</t>
  </si>
  <si>
    <t xml:space="preserve">BCST §5.2 floor applied</t>
  </si>
  <si>
    <t xml:space="preserve">DASHBOARD_LOOKUP — DO NOT EDIT (Auto-Calculated)</t>
  </si>
  <si>
    <t xml:space="preserve">Metric</t>
  </si>
  <si>
    <t xml:space="preserve">Value (Adverse)</t>
  </si>
  <si>
    <t xml:space="preserve">Source Sheet</t>
  </si>
  <si>
    <t xml:space="preserve">ECL — Adverse (₹ Cr)</t>
  </si>
  <si>
    <t xml:space="preserve">Auto</t>
  </si>
  <si>
    <t xml:space="preserve">Portfolio Avg Stressed PD</t>
  </si>
  <si>
    <t xml:space="preserve">Total EAD (₹ Cr)</t>
  </si>
  <si>
    <t xml:space="preserve">PORTFOLIO_EXPOSURE</t>
  </si>
  <si>
    <t xml:space="preserve">BCST Rules Breached</t>
  </si>
  <si>
    <t xml:space="preserve">BCST_RULES</t>
  </si>
  <si>
    <t xml:space="preserve">Stressed PD (Baseline)</t>
  </si>
  <si>
    <t xml:space="preserve">WATERFALL_PD</t>
  </si>
  <si>
    <t xml:space="preserve">Stressed PD (Adverse)</t>
  </si>
  <si>
    <t xml:space="preserve">Stressed PD (Severely Adv)</t>
  </si>
  <si>
    <t xml:space="preserve">Total Heatmap EL (₹ Cr)</t>
  </si>
  <si>
    <t xml:space="preserve">HEATMAP_EL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</si>
</sst>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.00"/>
    <numFmt numFmtId="168" formatCode="@"/>
    <numFmt numFmtId="169" formatCode="0.00%"/>
    <numFmt numFmtId="170" formatCode="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5D0000"/>
      <name val="Arial"/>
      <family val="0"/>
      <charset val="1"/>
    </font>
    <font>
      <sz val="10"/>
      <color rgb="FF7D6608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sz val="10"/>
      <color rgb="FF7F8C8D"/>
      <name val="Arial"/>
      <family val="0"/>
      <charset val="1"/>
    </font>
    <font>
      <sz val="10"/>
      <color rgb="FFAABBCC"/>
      <name val="Arial"/>
      <family val="0"/>
      <charset val="1"/>
    </font>
  </fonts>
  <fills count="48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EAF2FF"/>
        <bgColor rgb="FFEBF5FB"/>
      </patternFill>
    </fill>
    <fill>
      <patternFill patternType="solid">
        <fgColor rgb="FF1F2D3D"/>
        <bgColor rgb="FF1A3A5C"/>
      </patternFill>
    </fill>
    <fill>
      <patternFill patternType="solid">
        <fgColor rgb="FFFFFFFF"/>
        <bgColor rgb="FFFAFAFB"/>
      </patternFill>
    </fill>
    <fill>
      <patternFill patternType="solid">
        <fgColor rgb="FFF0F0F0"/>
        <bgColor rgb="FFEFEFF3"/>
      </patternFill>
    </fill>
    <fill>
      <patternFill patternType="solid">
        <fgColor rgb="FFEBF5FB"/>
        <bgColor rgb="FFEAF2FF"/>
      </patternFill>
    </fill>
    <fill>
      <patternFill patternType="solid">
        <fgColor rgb="FFFFFF00"/>
        <bgColor rgb="FFFFF3CD"/>
      </patternFill>
    </fill>
    <fill>
      <patternFill patternType="solid">
        <fgColor rgb="FFF0FFF0"/>
        <bgColor rgb="FFF7F9FC"/>
      </patternFill>
    </fill>
    <fill>
      <patternFill patternType="solid">
        <fgColor rgb="FF2E4057"/>
        <bgColor rgb="FF2C3E50"/>
      </patternFill>
    </fill>
    <fill>
      <patternFill patternType="solid">
        <fgColor rgb="FF34495E"/>
        <bgColor rgb="FF2E4057"/>
      </patternFill>
    </fill>
    <fill>
      <patternFill patternType="solid">
        <fgColor rgb="FFF7F9FC"/>
        <bgColor rgb="FFF9F9FA"/>
      </patternFill>
    </fill>
    <fill>
      <patternFill patternType="solid">
        <fgColor rgb="FFFFF3CD"/>
        <bgColor rgb="FFFEF9E7"/>
      </patternFill>
    </fill>
    <fill>
      <patternFill patternType="solid">
        <fgColor rgb="FFE8F8E8"/>
        <bgColor rgb="FFEBF5FB"/>
      </patternFill>
    </fill>
    <fill>
      <patternFill patternType="solid">
        <fgColor rgb="FF2C3E50"/>
        <bgColor rgb="FF2E4057"/>
      </patternFill>
    </fill>
    <fill>
      <patternFill patternType="solid">
        <fgColor rgb="FF7F8C8D"/>
        <bgColor rgb="FF8C8CB1"/>
      </patternFill>
    </fill>
    <fill>
      <patternFill patternType="solid">
        <fgColor rgb="FFD5F5E3"/>
        <bgColor rgb="FFE8F8E8"/>
      </patternFill>
    </fill>
    <fill>
      <patternFill patternType="solid">
        <fgColor rgb="FFFADBD8"/>
        <bgColor rgb="FFE6E6ED"/>
      </patternFill>
    </fill>
    <fill>
      <patternFill patternType="solid">
        <fgColor rgb="FFF9F9FA"/>
        <bgColor rgb="FFFAFAFA"/>
      </patternFill>
    </fill>
    <fill>
      <patternFill patternType="solid">
        <fgColor rgb="FFF7F7F8"/>
        <bgColor rgb="FFF8F8F9"/>
      </patternFill>
    </fill>
    <fill>
      <patternFill patternType="solid">
        <fgColor rgb="FFF2F2F5"/>
        <bgColor rgb="FFF4F4F7"/>
      </patternFill>
    </fill>
    <fill>
      <patternFill patternType="solid">
        <fgColor rgb="FFEAEAF0"/>
        <bgColor rgb="FFE9E9EF"/>
      </patternFill>
    </fill>
    <fill>
      <patternFill patternType="solid">
        <fgColor rgb="FFD5D5E2"/>
        <bgColor rgb="FFD9D9E5"/>
      </patternFill>
    </fill>
    <fill>
      <patternFill patternType="solid">
        <fgColor rgb="FFC1C1D5"/>
        <bgColor rgb="FFC6C6D8"/>
      </patternFill>
    </fill>
    <fill>
      <patternFill patternType="solid">
        <fgColor rgb="FFF5F5F7"/>
        <bgColor rgb="FFF4F4F7"/>
      </patternFill>
    </fill>
    <fill>
      <patternFill patternType="solid">
        <fgColor rgb="FFEFEFF3"/>
        <bgColor rgb="FFEEEEF3"/>
      </patternFill>
    </fill>
    <fill>
      <patternFill patternType="solid">
        <fgColor rgb="FFE6E6ED"/>
        <bgColor rgb="FFE9E9EF"/>
      </patternFill>
    </fill>
    <fill>
      <patternFill patternType="solid">
        <fgColor rgb="FFA4A4C1"/>
        <bgColor rgb="FFA2A2C0"/>
      </patternFill>
    </fill>
    <fill>
      <patternFill patternType="solid">
        <fgColor rgb="FF7373A1"/>
        <bgColor rgb="FF7F8C8D"/>
      </patternFill>
    </fill>
    <fill>
      <patternFill patternType="solid">
        <fgColor rgb="FFFAFAFB"/>
        <bgColor rgb="FFFAFAFA"/>
      </patternFill>
    </fill>
    <fill>
      <patternFill patternType="solid">
        <fgColor rgb="FFF8F8F9"/>
        <bgColor rgb="FFF7F7F8"/>
      </patternFill>
    </fill>
    <fill>
      <patternFill patternType="solid">
        <fgColor rgb="FFF4F4F7"/>
        <bgColor rgb="FFF5F5F7"/>
      </patternFill>
    </fill>
    <fill>
      <patternFill patternType="solid">
        <fgColor rgb="FFEEEEF3"/>
        <bgColor rgb="FFEFEFF3"/>
      </patternFill>
    </fill>
    <fill>
      <patternFill patternType="solid">
        <fgColor rgb="FFDEDEE8"/>
        <bgColor rgb="FFDCDCE6"/>
      </patternFill>
    </fill>
    <fill>
      <patternFill patternType="solid">
        <fgColor rgb="FFCDCDDD"/>
        <bgColor rgb="FFC6C6D8"/>
      </patternFill>
    </fill>
    <fill>
      <patternFill patternType="solid">
        <fgColor rgb="FFEDEDF2"/>
        <bgColor rgb="FFEEEEF3"/>
      </patternFill>
    </fill>
    <fill>
      <patternFill patternType="solid">
        <fgColor rgb="FFE1E1EA"/>
        <bgColor rgb="FFDEDEE8"/>
      </patternFill>
    </fill>
    <fill>
      <patternFill patternType="solid">
        <fgColor rgb="FFA2A2C0"/>
        <bgColor rgb="FFA4A4C1"/>
      </patternFill>
    </fill>
    <fill>
      <patternFill patternType="solid">
        <fgColor rgb="FFE9E9EF"/>
        <bgColor rgb="FFEAEAF0"/>
      </patternFill>
    </fill>
    <fill>
      <patternFill patternType="solid">
        <fgColor rgb="FFDCDCE6"/>
        <bgColor rgb="FFDEDEE8"/>
      </patternFill>
    </fill>
    <fill>
      <patternFill patternType="solid">
        <fgColor rgb="FFC6C6D8"/>
        <bgColor rgb="FFC1C1D5"/>
      </patternFill>
    </fill>
    <fill>
      <patternFill patternType="solid">
        <fgColor rgb="FF8C8CB1"/>
        <bgColor rgb="FF7F8C8D"/>
      </patternFill>
    </fill>
    <fill>
      <patternFill patternType="solid">
        <fgColor rgb="FF484884"/>
        <bgColor rgb="FF34495E"/>
      </patternFill>
    </fill>
    <fill>
      <patternFill patternType="solid">
        <fgColor rgb="FFD9D9E5"/>
        <bgColor rgb="FFDCDCE6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FAFAFA"/>
        <bgColor rgb="FFFAFA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8F8F9"/>
      <rgbColor rgb="FFEAEAF0"/>
      <rgbColor rgb="FF0000FF"/>
      <rgbColor rgb="FFFFFF00"/>
      <rgbColor rgb="FFF2F2F5"/>
      <rgbColor rgb="FFE6E6ED"/>
      <rgbColor rgb="FF5D0000"/>
      <rgbColor rgb="FF008000"/>
      <rgbColor rgb="FFF0FFF0"/>
      <rgbColor rgb="FF7D6608"/>
      <rgbColor rgb="FFF5F5F7"/>
      <rgbColor rgb="FFEFEFF3"/>
      <rgbColor rgb="FFBFBFBF"/>
      <rgbColor rgb="FF7F8C8D"/>
      <rgbColor rgb="FFA2A2C0"/>
      <rgbColor rgb="FFEDEDF2"/>
      <rgbColor rgb="FFFFFDE7"/>
      <rgbColor rgb="FFE8F8E8"/>
      <rgbColor rgb="FFF7F9FC"/>
      <rgbColor rgb="FFC6C6D8"/>
      <rgbColor rgb="FF34495E"/>
      <rgbColor rgb="FFCDCDDD"/>
      <rgbColor rgb="FFFAFAFA"/>
      <rgbColor rgb="FFF4F4F7"/>
      <rgbColor rgb="FFFEF9E7"/>
      <rgbColor rgb="FFEAF2FF"/>
      <rgbColor rgb="FFF7F7F8"/>
      <rgbColor rgb="FFF9F9FA"/>
      <rgbColor rgb="FFF0F0F0"/>
      <rgbColor rgb="FFFAFAFB"/>
      <rgbColor rgb="FFE1E1EA"/>
      <rgbColor rgb="FFEBF5FB"/>
      <rgbColor rgb="FFD5F5E3"/>
      <rgbColor rgb="FFFFF3CD"/>
      <rgbColor rgb="FFAABBCC"/>
      <rgbColor rgb="FFC1C1D5"/>
      <rgbColor rgb="FFA4A4C1"/>
      <rgbColor rgb="FFFADBD8"/>
      <rgbColor rgb="FFE9E9EF"/>
      <rgbColor rgb="FFDCDCE6"/>
      <rgbColor rgb="FFD9D9E5"/>
      <rgbColor rgb="FFD5D5E2"/>
      <rgbColor rgb="FFD68910"/>
      <rgbColor rgb="FFDEDEE8"/>
      <rgbColor rgb="FF7373A1"/>
      <rgbColor rgb="FF8C8CB1"/>
      <rgbColor rgb="FF1A3A5C"/>
      <rgbColor rgb="FF27AE60"/>
      <rgbColor rgb="FF2E4057"/>
      <rgbColor rgb="FF2C3E50"/>
      <rgbColor rgb="FFC0392B"/>
      <rgbColor rgb="FFEEEEF3"/>
      <rgbColor rgb="FF484884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60"/>
    <col collapsed="false" customWidth="true" hidden="false" outlineLevel="0" max="4" min="4" style="1" width="22"/>
  </cols>
  <sheetData>
    <row r="1" customFormat="false" ht="36" hidden="false" customHeight="true" outlineLevel="0" collapsed="false">
      <c r="B1" s="2" t="s">
        <v>0</v>
      </c>
      <c r="C1" s="2"/>
      <c r="D1" s="2"/>
    </row>
    <row r="2" customFormat="false" ht="19.5" hidden="false" customHeight="true" outlineLevel="0" collapsed="false">
      <c r="B2" s="3" t="s">
        <v>1</v>
      </c>
      <c r="C2" s="3"/>
      <c r="D2" s="3"/>
    </row>
    <row r="3" customFormat="false" ht="6" hidden="false" customHeight="true" outlineLevel="0" collapsed="false"/>
    <row r="4" customFormat="false" ht="18" hidden="false" customHeight="true" outlineLevel="0" collapsed="false">
      <c r="B4" s="4" t="s">
        <v>2</v>
      </c>
      <c r="C4" s="4" t="s">
        <v>3</v>
      </c>
      <c r="D4" s="4" t="s">
        <v>4</v>
      </c>
    </row>
    <row r="5" customFormat="false" ht="18" hidden="false" customHeight="true" outlineLevel="0" collapsed="false">
      <c r="B5" s="5" t="s">
        <v>5</v>
      </c>
      <c r="C5" s="5" t="s">
        <v>6</v>
      </c>
      <c r="D5" s="5" t="s">
        <v>7</v>
      </c>
    </row>
    <row r="6" customFormat="false" ht="18" hidden="false" customHeight="true" outlineLevel="0" collapsed="false">
      <c r="B6" s="6" t="s">
        <v>8</v>
      </c>
      <c r="C6" s="6" t="s">
        <v>9</v>
      </c>
      <c r="D6" s="6" t="s">
        <v>10</v>
      </c>
    </row>
    <row r="7" customFormat="false" ht="18" hidden="false" customHeight="true" outlineLevel="0" collapsed="false">
      <c r="B7" s="5" t="s">
        <v>11</v>
      </c>
      <c r="C7" s="5" t="s">
        <v>12</v>
      </c>
      <c r="D7" s="5" t="s">
        <v>10</v>
      </c>
    </row>
    <row r="8" customFormat="false" ht="18" hidden="false" customHeight="true" outlineLevel="0" collapsed="false">
      <c r="B8" s="6" t="s">
        <v>13</v>
      </c>
      <c r="C8" s="6" t="s">
        <v>14</v>
      </c>
      <c r="D8" s="6" t="s">
        <v>10</v>
      </c>
    </row>
    <row r="9" customFormat="false" ht="18" hidden="false" customHeight="true" outlineLevel="0" collapsed="false">
      <c r="B9" s="5" t="s">
        <v>15</v>
      </c>
      <c r="C9" s="5" t="s">
        <v>16</v>
      </c>
      <c r="D9" s="5" t="s">
        <v>10</v>
      </c>
    </row>
    <row r="10" customFormat="false" ht="18" hidden="false" customHeight="true" outlineLevel="0" collapsed="false">
      <c r="B10" s="6" t="s">
        <v>17</v>
      </c>
      <c r="C10" s="6" t="s">
        <v>18</v>
      </c>
      <c r="D10" s="6" t="s">
        <v>19</v>
      </c>
    </row>
    <row r="11" customFormat="false" ht="18" hidden="false" customHeight="true" outlineLevel="0" collapsed="false">
      <c r="B11" s="5" t="s">
        <v>20</v>
      </c>
      <c r="C11" s="5" t="s">
        <v>21</v>
      </c>
      <c r="D11" s="5" t="s">
        <v>10</v>
      </c>
    </row>
    <row r="12" customFormat="false" ht="18" hidden="false" customHeight="true" outlineLevel="0" collapsed="false">
      <c r="B12" s="6" t="s">
        <v>22</v>
      </c>
      <c r="C12" s="6" t="s">
        <v>23</v>
      </c>
      <c r="D12" s="6" t="s">
        <v>24</v>
      </c>
    </row>
    <row r="15" customFormat="false" ht="7.5" hidden="false" customHeight="true" outlineLevel="0" collapsed="false"/>
    <row r="16" customFormat="false" ht="18" hidden="false" customHeight="true" outlineLevel="0" collapsed="false">
      <c r="B16" s="7" t="s">
        <v>25</v>
      </c>
      <c r="C16" s="7"/>
      <c r="D16" s="7"/>
    </row>
    <row r="17" customFormat="false" ht="18" hidden="false" customHeight="true" outlineLevel="0" collapsed="false">
      <c r="B17" s="8" t="s">
        <v>26</v>
      </c>
      <c r="C17" s="8"/>
      <c r="D17" s="8"/>
    </row>
    <row r="18" customFormat="false" ht="18" hidden="false" customHeight="true" outlineLevel="0" collapsed="false">
      <c r="B18" s="9" t="s">
        <v>27</v>
      </c>
      <c r="C18" s="9"/>
      <c r="D18" s="9"/>
    </row>
    <row r="19" customFormat="false" ht="18" hidden="false" customHeight="true" outlineLevel="0" collapsed="false">
      <c r="B19" s="10" t="s">
        <v>28</v>
      </c>
      <c r="C19" s="10"/>
      <c r="D19" s="10"/>
    </row>
    <row r="20" customFormat="false" ht="18" hidden="false" customHeight="true" outlineLevel="0" collapsed="false">
      <c r="B20" s="11" t="s">
        <v>29</v>
      </c>
      <c r="C20" s="11"/>
      <c r="D20" s="11"/>
    </row>
  </sheetData>
  <mergeCells count="7">
    <mergeCell ref="B1:D1"/>
    <mergeCell ref="B2:D2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6"/>
  </cols>
  <sheetData>
    <row r="1" customFormat="false" ht="31.5" hidden="false" customHeight="true" outlineLevel="0" collapsed="false">
      <c r="B1" s="12" t="s">
        <v>30</v>
      </c>
      <c r="C1" s="12"/>
      <c r="D1" s="12"/>
      <c r="E1" s="12"/>
      <c r="F1" s="12"/>
    </row>
    <row r="2" customFormat="false" ht="15" hidden="false" customHeight="true" outlineLevel="0" collapsed="false">
      <c r="B2" s="13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customFormat="false" ht="18" hidden="false" customHeight="true" outlineLevel="0" collapsed="false">
      <c r="B3" s="15" t="s">
        <v>36</v>
      </c>
      <c r="C3" s="16" t="s">
        <v>37</v>
      </c>
      <c r="D3" s="16" t="s">
        <v>38</v>
      </c>
      <c r="E3" s="16" t="s">
        <v>39</v>
      </c>
      <c r="F3" s="16" t="s">
        <v>40</v>
      </c>
    </row>
    <row r="4" customFormat="false" ht="18" hidden="false" customHeight="true" outlineLevel="0" collapsed="false">
      <c r="B4" s="17" t="s">
        <v>41</v>
      </c>
      <c r="C4" s="16" t="s">
        <v>32</v>
      </c>
      <c r="D4" s="16" t="s">
        <v>33</v>
      </c>
      <c r="E4" s="16" t="s">
        <v>34</v>
      </c>
      <c r="F4" s="16" t="s">
        <v>35</v>
      </c>
    </row>
    <row r="5" customFormat="false" ht="18" hidden="false" customHeight="true" outlineLevel="0" collapsed="false">
      <c r="B5" s="15" t="s">
        <v>42</v>
      </c>
      <c r="C5" s="16" t="s">
        <v>43</v>
      </c>
      <c r="D5" s="16" t="s">
        <v>43</v>
      </c>
      <c r="E5" s="16" t="s">
        <v>43</v>
      </c>
      <c r="F5" s="16" t="s">
        <v>43</v>
      </c>
    </row>
    <row r="6" customFormat="false" ht="18" hidden="false" customHeight="true" outlineLevel="0" collapsed="false">
      <c r="B6" s="17" t="s">
        <v>44</v>
      </c>
      <c r="C6" s="18" t="n">
        <v>-0.005</v>
      </c>
      <c r="D6" s="18" t="n">
        <v>-0.028</v>
      </c>
      <c r="E6" s="18" t="n">
        <v>-0.058</v>
      </c>
      <c r="F6" s="18" t="n">
        <v>-0.04</v>
      </c>
    </row>
    <row r="7" customFormat="false" ht="18" hidden="false" customHeight="true" outlineLevel="0" collapsed="false">
      <c r="B7" s="15" t="s">
        <v>45</v>
      </c>
      <c r="C7" s="18" t="n">
        <v>0.003</v>
      </c>
      <c r="D7" s="18" t="n">
        <v>0.018</v>
      </c>
      <c r="E7" s="18" t="n">
        <v>0.042</v>
      </c>
      <c r="F7" s="18" t="n">
        <v>0.025</v>
      </c>
    </row>
    <row r="8" customFormat="false" ht="18" hidden="false" customHeight="true" outlineLevel="0" collapsed="false">
      <c r="B8" s="17" t="s">
        <v>46</v>
      </c>
      <c r="C8" s="19" t="n">
        <v>40</v>
      </c>
      <c r="D8" s="19" t="n">
        <v>180</v>
      </c>
      <c r="E8" s="19" t="n">
        <v>420</v>
      </c>
      <c r="F8" s="19" t="n">
        <v>260</v>
      </c>
    </row>
    <row r="9" customFormat="false" ht="18" hidden="false" customHeight="true" outlineLevel="0" collapsed="false">
      <c r="B9" s="15" t="s">
        <v>47</v>
      </c>
      <c r="C9" s="19" t="n">
        <v>15</v>
      </c>
      <c r="D9" s="19" t="n">
        <v>42</v>
      </c>
      <c r="E9" s="19" t="n">
        <v>78</v>
      </c>
      <c r="F9" s="19" t="n">
        <v>58</v>
      </c>
    </row>
    <row r="10" customFormat="false" ht="18" hidden="false" customHeight="true" outlineLevel="0" collapsed="false">
      <c r="B10" s="17" t="s">
        <v>48</v>
      </c>
      <c r="C10" s="18" t="n">
        <v>0.005</v>
      </c>
      <c r="D10" s="18" t="n">
        <v>0.018</v>
      </c>
      <c r="E10" s="18" t="n">
        <v>0.035</v>
      </c>
      <c r="F10" s="18" t="n">
        <v>0.026</v>
      </c>
    </row>
    <row r="11" customFormat="false" ht="18" hidden="false" customHeight="true" outlineLevel="0" collapsed="false">
      <c r="B11" s="15" t="s">
        <v>49</v>
      </c>
      <c r="C11" s="18" t="n">
        <v>-0.05</v>
      </c>
      <c r="D11" s="18" t="n">
        <v>-0.28</v>
      </c>
      <c r="E11" s="18" t="n">
        <v>-0.52</v>
      </c>
      <c r="F11" s="18" t="n">
        <v>-0.38</v>
      </c>
    </row>
    <row r="12" customFormat="false" ht="18" hidden="false" customHeight="true" outlineLevel="0" collapsed="false">
      <c r="B12" s="17" t="s">
        <v>50</v>
      </c>
      <c r="C12" s="18" t="n">
        <v>0.02</v>
      </c>
      <c r="D12" s="18" t="n">
        <v>0.1</v>
      </c>
      <c r="E12" s="18" t="n">
        <v>0.22</v>
      </c>
      <c r="F12" s="18" t="n">
        <v>0.15</v>
      </c>
    </row>
    <row r="13" customFormat="false" ht="18" hidden="false" customHeight="true" outlineLevel="0" collapsed="false">
      <c r="B13" s="15" t="s">
        <v>51</v>
      </c>
      <c r="C13" s="20" t="n">
        <v>1</v>
      </c>
      <c r="D13" s="20" t="n">
        <v>2.1</v>
      </c>
      <c r="E13" s="20" t="n">
        <v>3.6</v>
      </c>
      <c r="F13" s="20" t="n">
        <v>2.7</v>
      </c>
    </row>
    <row r="14" customFormat="false" ht="18" hidden="false" customHeight="true" outlineLevel="0" collapsed="false">
      <c r="B14" s="17" t="s">
        <v>52</v>
      </c>
      <c r="C14" s="20" t="n">
        <v>1</v>
      </c>
      <c r="D14" s="20" t="n">
        <v>1.18</v>
      </c>
      <c r="E14" s="20" t="n">
        <v>1.38</v>
      </c>
      <c r="F14" s="20" t="n">
        <v>1.25</v>
      </c>
    </row>
    <row r="15" customFormat="false" ht="18" hidden="false" customHeight="true" outlineLevel="0" collapsed="false">
      <c r="B15" s="15" t="s">
        <v>53</v>
      </c>
      <c r="C15" s="18" t="n">
        <v>0</v>
      </c>
      <c r="D15" s="18" t="n">
        <v>0.08</v>
      </c>
      <c r="E15" s="18" t="n">
        <v>0.18</v>
      </c>
      <c r="F15" s="18" t="n">
        <v>0.12</v>
      </c>
    </row>
    <row r="16" customFormat="false" ht="18" hidden="false" customHeight="true" outlineLevel="0" collapsed="false">
      <c r="B16" s="17" t="s">
        <v>54</v>
      </c>
      <c r="C16" s="20" t="n">
        <v>0</v>
      </c>
      <c r="D16" s="20" t="n">
        <v>0.15</v>
      </c>
      <c r="E16" s="20" t="n">
        <v>0.3</v>
      </c>
      <c r="F16" s="20" t="n">
        <v>0.2</v>
      </c>
    </row>
    <row r="17" customFormat="false" ht="18" hidden="false" customHeight="true" outlineLevel="0" collapsed="false">
      <c r="B17" s="15" t="s">
        <v>55</v>
      </c>
      <c r="C17" s="16" t="s">
        <v>56</v>
      </c>
      <c r="D17" s="16" t="s">
        <v>57</v>
      </c>
      <c r="E17" s="16" t="s">
        <v>58</v>
      </c>
      <c r="F17" s="16" t="s">
        <v>59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7" min="4" style="1" width="10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31.5" hidden="false" customHeight="true" outlineLevel="0" collapsed="false">
      <c r="B1" s="12" t="s">
        <v>60</v>
      </c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B2" s="21" t="s">
        <v>61</v>
      </c>
      <c r="C2" s="21" t="s">
        <v>62</v>
      </c>
      <c r="D2" s="21" t="s">
        <v>63</v>
      </c>
      <c r="E2" s="21" t="s">
        <v>64</v>
      </c>
      <c r="F2" s="21" t="s">
        <v>65</v>
      </c>
      <c r="G2" s="21" t="s">
        <v>66</v>
      </c>
      <c r="H2" s="21" t="s">
        <v>67</v>
      </c>
      <c r="I2" s="21" t="s">
        <v>68</v>
      </c>
      <c r="J2" s="21" t="s">
        <v>69</v>
      </c>
      <c r="K2" s="21" t="s">
        <v>70</v>
      </c>
    </row>
    <row r="3" customFormat="false" ht="18" hidden="false" customHeight="true" outlineLevel="0" collapsed="false">
      <c r="B3" s="15" t="s">
        <v>71</v>
      </c>
      <c r="C3" s="19" t="n">
        <v>28400</v>
      </c>
      <c r="D3" s="22" t="s">
        <v>72</v>
      </c>
      <c r="E3" s="23" t="n">
        <v>0.029</v>
      </c>
      <c r="F3" s="18" t="n">
        <v>0.44</v>
      </c>
      <c r="G3" s="18" t="n">
        <v>1</v>
      </c>
      <c r="H3" s="19" t="n">
        <v>18200</v>
      </c>
      <c r="I3" s="24" t="s">
        <v>73</v>
      </c>
      <c r="J3" s="25" t="s">
        <v>74</v>
      </c>
    </row>
    <row r="4" customFormat="false" ht="18" hidden="false" customHeight="true" outlineLevel="0" collapsed="false">
      <c r="B4" s="17" t="s">
        <v>75</v>
      </c>
      <c r="C4" s="19" t="n">
        <v>22100</v>
      </c>
      <c r="D4" s="22" t="s">
        <v>76</v>
      </c>
      <c r="E4" s="23" t="n">
        <v>0.058</v>
      </c>
      <c r="F4" s="18" t="n">
        <v>0.52</v>
      </c>
      <c r="G4" s="18" t="n">
        <v>1.5</v>
      </c>
      <c r="H4" s="19" t="n">
        <v>9800</v>
      </c>
      <c r="I4" s="26" t="s">
        <v>77</v>
      </c>
      <c r="J4" s="25" t="s">
        <v>74</v>
      </c>
    </row>
    <row r="5" customFormat="false" ht="18" hidden="false" customHeight="true" outlineLevel="0" collapsed="false">
      <c r="B5" s="15" t="s">
        <v>78</v>
      </c>
      <c r="C5" s="19" t="n">
        <v>18700</v>
      </c>
      <c r="D5" s="22" t="s">
        <v>79</v>
      </c>
      <c r="E5" s="23" t="n">
        <v>0.021</v>
      </c>
      <c r="F5" s="18" t="n">
        <v>0.38</v>
      </c>
      <c r="G5" s="18" t="n">
        <v>0.85</v>
      </c>
      <c r="H5" s="19" t="n">
        <v>12400</v>
      </c>
      <c r="I5" s="24" t="s">
        <v>80</v>
      </c>
      <c r="J5" s="25" t="s">
        <v>74</v>
      </c>
    </row>
    <row r="6" customFormat="false" ht="18" hidden="false" customHeight="true" outlineLevel="0" collapsed="false">
      <c r="B6" s="17" t="s">
        <v>81</v>
      </c>
      <c r="C6" s="19" t="n">
        <v>17200</v>
      </c>
      <c r="D6" s="22" t="s">
        <v>72</v>
      </c>
      <c r="E6" s="23" t="n">
        <v>0.034</v>
      </c>
      <c r="F6" s="18" t="n">
        <v>0.46</v>
      </c>
      <c r="G6" s="18" t="n">
        <v>1</v>
      </c>
      <c r="H6" s="19" t="n">
        <v>11600</v>
      </c>
      <c r="I6" s="26" t="s">
        <v>82</v>
      </c>
      <c r="J6" s="25" t="s">
        <v>74</v>
      </c>
    </row>
    <row r="7" customFormat="false" ht="18" hidden="false" customHeight="true" outlineLevel="0" collapsed="false">
      <c r="B7" s="15" t="s">
        <v>83</v>
      </c>
      <c r="C7" s="19" t="n">
        <v>12400</v>
      </c>
      <c r="D7" s="22" t="s">
        <v>84</v>
      </c>
      <c r="E7" s="23" t="n">
        <v>0.082</v>
      </c>
      <c r="F7" s="18" t="n">
        <v>0.58</v>
      </c>
      <c r="G7" s="18" t="n">
        <v>2</v>
      </c>
      <c r="H7" s="19" t="n">
        <v>3800</v>
      </c>
      <c r="I7" s="24" t="s">
        <v>85</v>
      </c>
      <c r="J7" s="25" t="s">
        <v>74</v>
      </c>
    </row>
    <row r="8" customFormat="false" ht="18" hidden="false" customHeight="true" outlineLevel="0" collapsed="false">
      <c r="B8" s="17" t="s">
        <v>86</v>
      </c>
      <c r="C8" s="19" t="n">
        <v>11800</v>
      </c>
      <c r="D8" s="22" t="s">
        <v>72</v>
      </c>
      <c r="E8" s="23" t="n">
        <v>0.031</v>
      </c>
      <c r="F8" s="18" t="n">
        <v>0.42</v>
      </c>
      <c r="G8" s="18" t="n">
        <v>0.9</v>
      </c>
      <c r="H8" s="19" t="n">
        <v>7400</v>
      </c>
      <c r="I8" s="26" t="s">
        <v>87</v>
      </c>
      <c r="J8" s="25" t="s">
        <v>74</v>
      </c>
    </row>
    <row r="9" customFormat="false" ht="18" hidden="false" customHeight="true" outlineLevel="0" collapsed="false">
      <c r="B9" s="15" t="s">
        <v>88</v>
      </c>
      <c r="C9" s="19" t="n">
        <v>9600</v>
      </c>
      <c r="D9" s="22" t="s">
        <v>89</v>
      </c>
      <c r="E9" s="23" t="n">
        <v>0.009</v>
      </c>
      <c r="F9" s="18" t="n">
        <v>0.32</v>
      </c>
      <c r="G9" s="18" t="n">
        <v>0.7</v>
      </c>
      <c r="H9" s="19" t="n">
        <v>8200</v>
      </c>
      <c r="I9" s="24" t="s">
        <v>90</v>
      </c>
      <c r="J9" s="27" t="s">
        <v>91</v>
      </c>
    </row>
    <row r="10" customFormat="false" ht="18" hidden="false" customHeight="true" outlineLevel="0" collapsed="false">
      <c r="B10" s="17" t="s">
        <v>92</v>
      </c>
      <c r="C10" s="19" t="n">
        <v>8200</v>
      </c>
      <c r="D10" s="22" t="s">
        <v>79</v>
      </c>
      <c r="E10" s="23" t="n">
        <v>0.018</v>
      </c>
      <c r="F10" s="18" t="n">
        <v>0.36</v>
      </c>
      <c r="G10" s="18" t="n">
        <v>0.8</v>
      </c>
      <c r="H10" s="19" t="n">
        <v>5600</v>
      </c>
      <c r="I10" s="26" t="s">
        <v>93</v>
      </c>
      <c r="J10" s="27" t="s">
        <v>91</v>
      </c>
    </row>
    <row r="11" customFormat="false" ht="18" hidden="false" customHeight="true" outlineLevel="0" collapsed="false">
      <c r="B11" s="15" t="s">
        <v>94</v>
      </c>
      <c r="C11" s="19" t="n">
        <v>7100</v>
      </c>
      <c r="D11" s="22" t="s">
        <v>76</v>
      </c>
      <c r="E11" s="23" t="n">
        <v>0.045</v>
      </c>
      <c r="F11" s="18" t="n">
        <v>0.48</v>
      </c>
      <c r="G11" s="18" t="n">
        <v>1.2</v>
      </c>
      <c r="H11" s="19" t="n">
        <v>2800</v>
      </c>
      <c r="I11" s="24" t="s">
        <v>95</v>
      </c>
      <c r="J11" s="25" t="s">
        <v>74</v>
      </c>
    </row>
    <row r="12" customFormat="false" ht="19.5" hidden="false" customHeight="true" outlineLevel="0" collapsed="false">
      <c r="B12" s="28" t="s">
        <v>96</v>
      </c>
      <c r="C12" s="29" t="n">
        <f aca="false">SUM(C3:C11)</f>
        <v>135500</v>
      </c>
    </row>
  </sheetData>
  <mergeCells count="1">
    <mergeCell ref="B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9" min="3" style="1" width="11"/>
    <col collapsed="false" customWidth="true" hidden="false" outlineLevel="0" max="10" min="10" style="1" width="10"/>
  </cols>
  <sheetData>
    <row r="1" customFormat="false" ht="31.5" hidden="false" customHeight="true" outlineLevel="0" collapsed="false">
      <c r="B1" s="12" t="s">
        <v>97</v>
      </c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B2" s="13" t="s">
        <v>98</v>
      </c>
      <c r="C2" s="13" t="s">
        <v>99</v>
      </c>
      <c r="D2" s="13" t="s">
        <v>100</v>
      </c>
      <c r="E2" s="13" t="s">
        <v>101</v>
      </c>
      <c r="F2" s="13" t="s">
        <v>102</v>
      </c>
      <c r="G2" s="13" t="s">
        <v>103</v>
      </c>
      <c r="H2" s="13" t="s">
        <v>104</v>
      </c>
      <c r="I2" s="13" t="s">
        <v>105</v>
      </c>
      <c r="J2" s="30" t="s">
        <v>106</v>
      </c>
    </row>
    <row r="3" customFormat="false" ht="18" hidden="false" customHeight="true" outlineLevel="0" collapsed="false">
      <c r="B3" s="14" t="s">
        <v>107</v>
      </c>
      <c r="C3" s="31" t="n">
        <v>0.882</v>
      </c>
      <c r="D3" s="32" t="n">
        <v>0.071</v>
      </c>
      <c r="E3" s="32" t="n">
        <v>0.028</v>
      </c>
      <c r="F3" s="32" t="n">
        <v>0.012</v>
      </c>
      <c r="G3" s="32" t="n">
        <v>0.004</v>
      </c>
      <c r="H3" s="32" t="n">
        <v>0.002</v>
      </c>
      <c r="I3" s="33" t="n">
        <v>0.001</v>
      </c>
      <c r="J3" s="34" t="n">
        <f aca="false">SUM(C3:I3)</f>
        <v>1</v>
      </c>
    </row>
    <row r="4" customFormat="false" ht="18" hidden="false" customHeight="true" outlineLevel="0" collapsed="false">
      <c r="B4" s="14" t="s">
        <v>89</v>
      </c>
      <c r="C4" s="35" t="n">
        <v>0.009</v>
      </c>
      <c r="D4" s="31" t="n">
        <v>0.846</v>
      </c>
      <c r="E4" s="32" t="n">
        <v>0.084</v>
      </c>
      <c r="F4" s="32" t="n">
        <v>0.038</v>
      </c>
      <c r="G4" s="32" t="n">
        <v>0.015</v>
      </c>
      <c r="H4" s="32" t="n">
        <v>0.005</v>
      </c>
      <c r="I4" s="33" t="n">
        <v>0.003</v>
      </c>
      <c r="J4" s="34" t="n">
        <f aca="false">SUM(C4:I4)</f>
        <v>1</v>
      </c>
    </row>
    <row r="5" customFormat="false" ht="18" hidden="false" customHeight="true" outlineLevel="0" collapsed="false">
      <c r="B5" s="14" t="s">
        <v>79</v>
      </c>
      <c r="C5" s="35" t="n">
        <v>0.002</v>
      </c>
      <c r="D5" s="35" t="n">
        <v>0.024</v>
      </c>
      <c r="E5" s="31" t="n">
        <v>0.801</v>
      </c>
      <c r="F5" s="32" t="n">
        <v>0.112</v>
      </c>
      <c r="G5" s="32" t="n">
        <v>0.042</v>
      </c>
      <c r="H5" s="32" t="n">
        <v>0.014</v>
      </c>
      <c r="I5" s="33" t="n">
        <v>0.005</v>
      </c>
      <c r="J5" s="34" t="n">
        <f aca="false">SUM(C5:I5)</f>
        <v>1</v>
      </c>
    </row>
    <row r="6" customFormat="false" ht="18" hidden="false" customHeight="true" outlineLevel="0" collapsed="false">
      <c r="B6" s="14" t="s">
        <v>72</v>
      </c>
      <c r="C6" s="35" t="n">
        <v>0.001</v>
      </c>
      <c r="D6" s="35" t="n">
        <v>0.004</v>
      </c>
      <c r="E6" s="35" t="n">
        <v>0.048</v>
      </c>
      <c r="F6" s="31" t="n">
        <v>0.742</v>
      </c>
      <c r="G6" s="32" t="n">
        <v>0.126</v>
      </c>
      <c r="H6" s="32" t="n">
        <v>0.058</v>
      </c>
      <c r="I6" s="33" t="n">
        <v>0.021</v>
      </c>
      <c r="J6" s="34" t="n">
        <f aca="false">SUM(C6:I6)</f>
        <v>1</v>
      </c>
    </row>
    <row r="7" customFormat="false" ht="18" hidden="false" customHeight="true" outlineLevel="0" collapsed="false">
      <c r="B7" s="14" t="s">
        <v>76</v>
      </c>
      <c r="C7" s="35" t="n">
        <v>0</v>
      </c>
      <c r="D7" s="35" t="n">
        <v>0.001</v>
      </c>
      <c r="E7" s="35" t="n">
        <v>0.008</v>
      </c>
      <c r="F7" s="35" t="n">
        <v>0.072</v>
      </c>
      <c r="G7" s="31" t="n">
        <v>0.684</v>
      </c>
      <c r="H7" s="32" t="n">
        <v>0.162</v>
      </c>
      <c r="I7" s="33" t="n">
        <v>0.073</v>
      </c>
      <c r="J7" s="34" t="n">
        <f aca="false">SUM(C7:I7)</f>
        <v>1</v>
      </c>
    </row>
    <row r="8" customFormat="false" ht="18" hidden="false" customHeight="true" outlineLevel="0" collapsed="false">
      <c r="B8" s="14" t="s">
        <v>84</v>
      </c>
      <c r="C8" s="35" t="n">
        <v>0</v>
      </c>
      <c r="D8" s="35" t="n">
        <v>0.001</v>
      </c>
      <c r="E8" s="35" t="n">
        <v>0.002</v>
      </c>
      <c r="F8" s="35" t="n">
        <v>0.014</v>
      </c>
      <c r="G8" s="35" t="n">
        <v>0.098</v>
      </c>
      <c r="H8" s="31" t="n">
        <v>0.621</v>
      </c>
      <c r="I8" s="33" t="n">
        <v>0.264</v>
      </c>
      <c r="J8" s="34" t="n">
        <f aca="false">SUM(C8:I8)</f>
        <v>1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9" min="3" style="1" width="13"/>
  </cols>
  <sheetData>
    <row r="1" customFormat="false" ht="31.5" hidden="false" customHeight="true" outlineLevel="0" collapsed="false">
      <c r="B1" s="12" t="s">
        <v>108</v>
      </c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B2" s="13" t="s">
        <v>109</v>
      </c>
      <c r="C2" s="13" t="s">
        <v>107</v>
      </c>
      <c r="D2" s="13" t="s">
        <v>89</v>
      </c>
      <c r="E2" s="13" t="s">
        <v>79</v>
      </c>
      <c r="F2" s="13" t="s">
        <v>72</v>
      </c>
      <c r="G2" s="13" t="s">
        <v>76</v>
      </c>
      <c r="H2" s="13" t="s">
        <v>84</v>
      </c>
      <c r="I2" s="30" t="s">
        <v>110</v>
      </c>
    </row>
    <row r="3" customFormat="false" ht="18" hidden="false" customHeight="true" outlineLevel="0" collapsed="false">
      <c r="B3" s="36" t="s">
        <v>71</v>
      </c>
      <c r="C3" s="37" t="n">
        <v>2</v>
      </c>
      <c r="D3" s="38" t="n">
        <v>4</v>
      </c>
      <c r="E3" s="39" t="n">
        <v>8</v>
      </c>
      <c r="F3" s="40" t="n">
        <v>14</v>
      </c>
      <c r="G3" s="41" t="n">
        <v>32</v>
      </c>
      <c r="H3" s="42" t="n">
        <v>48</v>
      </c>
      <c r="I3" s="43" t="n">
        <f aca="false">SUM(C3:H3)</f>
        <v>108</v>
      </c>
    </row>
    <row r="4" customFormat="false" ht="18" hidden="false" customHeight="true" outlineLevel="0" collapsed="false">
      <c r="B4" s="36" t="s">
        <v>75</v>
      </c>
      <c r="C4" s="44" t="n">
        <v>5</v>
      </c>
      <c r="D4" s="45" t="n">
        <v>10</v>
      </c>
      <c r="E4" s="46" t="n">
        <v>18</v>
      </c>
      <c r="F4" s="41" t="n">
        <v>32</v>
      </c>
      <c r="G4" s="47" t="n">
        <v>72</v>
      </c>
      <c r="H4" s="48" t="n">
        <v>112</v>
      </c>
      <c r="I4" s="43" t="n">
        <f aca="false">SUM(C4:H4)</f>
        <v>249</v>
      </c>
    </row>
    <row r="5" customFormat="false" ht="18" hidden="false" customHeight="true" outlineLevel="0" collapsed="false">
      <c r="B5" s="36" t="s">
        <v>78</v>
      </c>
      <c r="C5" s="49" t="n">
        <v>1</v>
      </c>
      <c r="D5" s="50" t="n">
        <v>3</v>
      </c>
      <c r="E5" s="51" t="n">
        <v>6</v>
      </c>
      <c r="F5" s="52" t="n">
        <v>11</v>
      </c>
      <c r="G5" s="53" t="n">
        <v>24</v>
      </c>
      <c r="H5" s="54" t="n">
        <v>38</v>
      </c>
      <c r="I5" s="43" t="n">
        <f aca="false">SUM(C5:H5)</f>
        <v>83</v>
      </c>
    </row>
    <row r="6" customFormat="false" ht="18" hidden="false" customHeight="true" outlineLevel="0" collapsed="false">
      <c r="B6" s="36" t="s">
        <v>81</v>
      </c>
      <c r="C6" s="50" t="n">
        <v>3</v>
      </c>
      <c r="D6" s="51" t="n">
        <v>6</v>
      </c>
      <c r="E6" s="55" t="n">
        <v>12</v>
      </c>
      <c r="F6" s="56" t="n">
        <v>22</v>
      </c>
      <c r="G6" s="42" t="n">
        <v>48</v>
      </c>
      <c r="H6" s="57" t="n">
        <v>74</v>
      </c>
      <c r="I6" s="43" t="n">
        <f aca="false">SUM(C6:H6)</f>
        <v>165</v>
      </c>
    </row>
    <row r="7" customFormat="false" ht="18" hidden="false" customHeight="true" outlineLevel="0" collapsed="false">
      <c r="B7" s="36" t="s">
        <v>83</v>
      </c>
      <c r="C7" s="39" t="n">
        <v>8</v>
      </c>
      <c r="D7" s="58" t="n">
        <v>15</v>
      </c>
      <c r="E7" s="59" t="n">
        <v>26</v>
      </c>
      <c r="F7" s="60" t="n">
        <v>44</v>
      </c>
      <c r="G7" s="61" t="n">
        <v>92</v>
      </c>
      <c r="H7" s="62" t="n">
        <v>148</v>
      </c>
      <c r="I7" s="43" t="n">
        <f aca="false">SUM(C7:H7)</f>
        <v>333</v>
      </c>
    </row>
    <row r="8" customFormat="false" ht="18" hidden="false" customHeight="true" outlineLevel="0" collapsed="false">
      <c r="B8" s="36" t="s">
        <v>92</v>
      </c>
      <c r="C8" s="49" t="n">
        <v>1</v>
      </c>
      <c r="D8" s="37" t="n">
        <v>2</v>
      </c>
      <c r="E8" s="38" t="n">
        <v>4</v>
      </c>
      <c r="F8" s="39" t="n">
        <v>8</v>
      </c>
      <c r="G8" s="46" t="n">
        <v>18</v>
      </c>
      <c r="H8" s="63" t="n">
        <v>28</v>
      </c>
      <c r="I8" s="43" t="n">
        <f aca="false">SUM(C8:H8)</f>
        <v>61</v>
      </c>
    </row>
    <row r="9" customFormat="false" ht="15" hidden="false" customHeight="true" outlineLevel="0" collapsed="false">
      <c r="B9" s="30" t="s">
        <v>111</v>
      </c>
      <c r="C9" s="64" t="n">
        <f aca="false">SUM(C3:C8)</f>
        <v>20</v>
      </c>
      <c r="D9" s="64" t="n">
        <f aca="false">SUM(D3:D8)</f>
        <v>40</v>
      </c>
      <c r="E9" s="64" t="n">
        <f aca="false">SUM(E3:E8)</f>
        <v>74</v>
      </c>
      <c r="F9" s="64" t="n">
        <f aca="false">SUM(F3:F8)</f>
        <v>131</v>
      </c>
      <c r="G9" s="64" t="n">
        <f aca="false">SUM(G3:G8)</f>
        <v>286</v>
      </c>
      <c r="H9" s="64" t="n">
        <f aca="false">SUM(H3:H8)</f>
        <v>448</v>
      </c>
      <c r="I9" s="64" t="n">
        <f aca="false">SUM(I3:I8)</f>
        <v>999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40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8" min="8" style="1" width="20"/>
  </cols>
  <sheetData>
    <row r="1" customFormat="false" ht="31.5" hidden="false" customHeight="true" outlineLevel="0" collapsed="false">
      <c r="B1" s="12" t="s">
        <v>112</v>
      </c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B2" s="21" t="s">
        <v>113</v>
      </c>
      <c r="C2" s="21" t="s">
        <v>114</v>
      </c>
      <c r="D2" s="21" t="s">
        <v>3</v>
      </c>
      <c r="E2" s="21" t="s">
        <v>115</v>
      </c>
      <c r="F2" s="21" t="s">
        <v>116</v>
      </c>
      <c r="G2" s="21" t="s">
        <v>117</v>
      </c>
      <c r="H2" s="21" t="s">
        <v>118</v>
      </c>
    </row>
    <row r="3" customFormat="false" ht="19.5" hidden="false" customHeight="true" outlineLevel="0" collapsed="false">
      <c r="B3" s="24" t="s">
        <v>119</v>
      </c>
      <c r="C3" s="65" t="s">
        <v>120</v>
      </c>
      <c r="D3" s="65" t="s">
        <v>121</v>
      </c>
      <c r="E3" s="66" t="s">
        <v>122</v>
      </c>
      <c r="F3" s="24" t="s">
        <v>123</v>
      </c>
      <c r="G3" s="67" t="s">
        <v>124</v>
      </c>
      <c r="H3" s="24" t="s">
        <v>125</v>
      </c>
    </row>
    <row r="4" customFormat="false" ht="19.5" hidden="false" customHeight="true" outlineLevel="0" collapsed="false">
      <c r="B4" s="26" t="s">
        <v>126</v>
      </c>
      <c r="C4" s="68" t="s">
        <v>127</v>
      </c>
      <c r="D4" s="68" t="s">
        <v>128</v>
      </c>
      <c r="E4" s="66" t="s">
        <v>129</v>
      </c>
      <c r="F4" s="26" t="s">
        <v>130</v>
      </c>
      <c r="G4" s="69" t="s">
        <v>131</v>
      </c>
      <c r="H4" s="26" t="s">
        <v>132</v>
      </c>
    </row>
    <row r="5" customFormat="false" ht="19.5" hidden="false" customHeight="true" outlineLevel="0" collapsed="false">
      <c r="B5" s="24" t="s">
        <v>133</v>
      </c>
      <c r="C5" s="65" t="s">
        <v>134</v>
      </c>
      <c r="D5" s="65" t="s">
        <v>135</v>
      </c>
      <c r="E5" s="66" t="s">
        <v>136</v>
      </c>
      <c r="F5" s="24" t="s">
        <v>137</v>
      </c>
      <c r="G5" s="70" t="s">
        <v>138</v>
      </c>
      <c r="H5" s="24" t="s">
        <v>139</v>
      </c>
    </row>
    <row r="6" customFormat="false" ht="19.5" hidden="false" customHeight="true" outlineLevel="0" collapsed="false">
      <c r="B6" s="26" t="s">
        <v>140</v>
      </c>
      <c r="C6" s="68" t="s">
        <v>141</v>
      </c>
      <c r="D6" s="68" t="s">
        <v>142</v>
      </c>
      <c r="E6" s="66" t="s">
        <v>143</v>
      </c>
      <c r="F6" s="26" t="s">
        <v>144</v>
      </c>
      <c r="G6" s="67" t="s">
        <v>124</v>
      </c>
      <c r="H6" s="26" t="s">
        <v>145</v>
      </c>
    </row>
    <row r="7" customFormat="false" ht="19.5" hidden="false" customHeight="true" outlineLevel="0" collapsed="false">
      <c r="B7" s="24" t="s">
        <v>146</v>
      </c>
      <c r="C7" s="65" t="s">
        <v>147</v>
      </c>
      <c r="D7" s="65" t="s">
        <v>148</v>
      </c>
      <c r="E7" s="66" t="s">
        <v>149</v>
      </c>
      <c r="F7" s="24" t="s">
        <v>150</v>
      </c>
      <c r="G7" s="67" t="s">
        <v>124</v>
      </c>
      <c r="H7" s="24" t="s">
        <v>151</v>
      </c>
    </row>
    <row r="8" customFormat="false" ht="19.5" hidden="false" customHeight="true" outlineLevel="0" collapsed="false">
      <c r="B8" s="26" t="s">
        <v>152</v>
      </c>
      <c r="C8" s="68" t="s">
        <v>153</v>
      </c>
      <c r="D8" s="68" t="s">
        <v>154</v>
      </c>
      <c r="E8" s="66" t="s">
        <v>155</v>
      </c>
      <c r="F8" s="26" t="s">
        <v>156</v>
      </c>
      <c r="G8" s="69" t="s">
        <v>131</v>
      </c>
      <c r="H8" s="26" t="s">
        <v>157</v>
      </c>
    </row>
    <row r="9" customFormat="false" ht="19.5" hidden="false" customHeight="true" outlineLevel="0" collapsed="false">
      <c r="B9" s="24" t="s">
        <v>158</v>
      </c>
      <c r="C9" s="65" t="s">
        <v>159</v>
      </c>
      <c r="D9" s="65" t="s">
        <v>160</v>
      </c>
      <c r="E9" s="66" t="s">
        <v>161</v>
      </c>
      <c r="F9" s="24" t="s">
        <v>162</v>
      </c>
      <c r="G9" s="67" t="s">
        <v>124</v>
      </c>
      <c r="H9" s="24" t="s">
        <v>163</v>
      </c>
    </row>
    <row r="10" customFormat="false" ht="19.5" hidden="false" customHeight="true" outlineLevel="0" collapsed="false">
      <c r="B10" s="26" t="s">
        <v>164</v>
      </c>
      <c r="C10" s="68" t="s">
        <v>165</v>
      </c>
      <c r="D10" s="68" t="s">
        <v>166</v>
      </c>
      <c r="E10" s="66" t="s">
        <v>167</v>
      </c>
      <c r="F10" s="26" t="s">
        <v>168</v>
      </c>
      <c r="G10" s="67" t="s">
        <v>124</v>
      </c>
      <c r="H10" s="26" t="s">
        <v>169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14"/>
    <col collapsed="false" customWidth="true" hidden="false" outlineLevel="0" max="8" min="8" style="1" width="22"/>
  </cols>
  <sheetData>
    <row r="1" customFormat="false" ht="31.5" hidden="false" customHeight="true" outlineLevel="0" collapsed="false">
      <c r="B1" s="12" t="s">
        <v>170</v>
      </c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B2" s="21" t="s">
        <v>171</v>
      </c>
      <c r="C2" s="21" t="s">
        <v>32</v>
      </c>
      <c r="D2" s="21" t="s">
        <v>33</v>
      </c>
      <c r="E2" s="21" t="s">
        <v>34</v>
      </c>
      <c r="F2" s="21" t="s">
        <v>35</v>
      </c>
      <c r="G2" s="21" t="s">
        <v>172</v>
      </c>
      <c r="H2" s="21" t="s">
        <v>70</v>
      </c>
    </row>
    <row r="3" customFormat="false" ht="19.5" hidden="false" customHeight="true" outlineLevel="0" collapsed="false">
      <c r="B3" s="65" t="s">
        <v>173</v>
      </c>
      <c r="C3" s="23" t="n">
        <v>0.0124</v>
      </c>
      <c r="D3" s="23" t="n">
        <v>0.0124</v>
      </c>
      <c r="E3" s="23" t="n">
        <v>0.0124</v>
      </c>
      <c r="F3" s="23" t="n">
        <v>0.0124</v>
      </c>
      <c r="G3" s="24" t="s">
        <v>7</v>
      </c>
      <c r="H3" s="71" t="s">
        <v>174</v>
      </c>
    </row>
    <row r="4" customFormat="false" ht="19.5" hidden="false" customHeight="true" outlineLevel="0" collapsed="false">
      <c r="B4" s="68" t="s">
        <v>175</v>
      </c>
      <c r="C4" s="23" t="n">
        <v>0</v>
      </c>
      <c r="D4" s="23" t="n">
        <v>0.0112</v>
      </c>
      <c r="E4" s="23" t="n">
        <v>0.0248</v>
      </c>
      <c r="F4" s="23" t="n">
        <v>0.0164</v>
      </c>
      <c r="G4" s="26" t="s">
        <v>176</v>
      </c>
      <c r="H4" s="71" t="s">
        <v>177</v>
      </c>
    </row>
    <row r="5" customFormat="false" ht="19.5" hidden="false" customHeight="true" outlineLevel="0" collapsed="false">
      <c r="B5" s="65" t="s">
        <v>178</v>
      </c>
      <c r="C5" s="23" t="n">
        <v>0</v>
      </c>
      <c r="D5" s="23" t="n">
        <v>0.0062</v>
      </c>
      <c r="E5" s="23" t="n">
        <v>0.0148</v>
      </c>
      <c r="F5" s="23" t="n">
        <v>0.0088</v>
      </c>
      <c r="G5" s="24" t="s">
        <v>179</v>
      </c>
      <c r="H5" s="71" t="s">
        <v>180</v>
      </c>
    </row>
    <row r="6" customFormat="false" ht="19.5" hidden="false" customHeight="true" outlineLevel="0" collapsed="false">
      <c r="B6" s="68" t="s">
        <v>181</v>
      </c>
      <c r="C6" s="23" t="n">
        <v>0</v>
      </c>
      <c r="D6" s="23" t="n">
        <v>0.0054</v>
      </c>
      <c r="E6" s="23" t="n">
        <v>0.01</v>
      </c>
      <c r="F6" s="23" t="n">
        <v>0.0074</v>
      </c>
      <c r="G6" s="26" t="s">
        <v>182</v>
      </c>
      <c r="H6" s="71" t="s">
        <v>183</v>
      </c>
    </row>
    <row r="7" customFormat="false" ht="19.5" hidden="false" customHeight="true" outlineLevel="0" collapsed="false">
      <c r="B7" s="65" t="s">
        <v>184</v>
      </c>
      <c r="C7" s="23" t="n">
        <v>0</v>
      </c>
      <c r="D7" s="23" t="n">
        <v>0.003</v>
      </c>
      <c r="E7" s="23" t="n">
        <v>0.0091</v>
      </c>
      <c r="F7" s="23" t="n">
        <v>0.0045</v>
      </c>
      <c r="G7" s="24" t="s">
        <v>185</v>
      </c>
      <c r="H7" s="71" t="s">
        <v>186</v>
      </c>
    </row>
    <row r="8" customFormat="false" ht="19.5" hidden="false" customHeight="true" outlineLevel="0" collapsed="false">
      <c r="B8" s="72" t="s">
        <v>187</v>
      </c>
      <c r="C8" s="73" t="n">
        <v>0.0124</v>
      </c>
      <c r="D8" s="73" t="n">
        <v>0.0382</v>
      </c>
      <c r="E8" s="73" t="n">
        <v>0.0711</v>
      </c>
      <c r="F8" s="73" t="n">
        <v>0.0495</v>
      </c>
      <c r="G8" s="36" t="s">
        <v>188</v>
      </c>
      <c r="H8" s="74" t="s">
        <v>189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</cols>
  <sheetData>
    <row r="1" customFormat="false" ht="30" hidden="false" customHeight="true" outlineLevel="0" collapsed="false">
      <c r="B1" s="75" t="s">
        <v>190</v>
      </c>
      <c r="C1" s="75"/>
      <c r="D1" s="75"/>
    </row>
    <row r="2" customFormat="false" ht="15" hidden="false" customHeight="true" outlineLevel="0" collapsed="false">
      <c r="B2" s="14" t="s">
        <v>191</v>
      </c>
      <c r="C2" s="14" t="s">
        <v>192</v>
      </c>
      <c r="D2" s="14" t="s">
        <v>193</v>
      </c>
    </row>
    <row r="3" customFormat="false" ht="18" hidden="false" customHeight="true" outlineLevel="0" collapsed="false">
      <c r="B3" s="15" t="s">
        <v>194</v>
      </c>
      <c r="C3" s="76" t="n">
        <f aca="false">ROUND(SUMPRODUCT(PORTFOLIO_EXPOSURE!C3:C11,PORTFOLIO_EXPOSURE!E3:E11*SCENARIO_PARAMS!D12,PORTFOLIO_EXPOSURE!F3:F11*SCENARIO_PARAMS!D13),0)</f>
        <v>509</v>
      </c>
      <c r="D3" s="77" t="s">
        <v>195</v>
      </c>
    </row>
    <row r="4" customFormat="false" ht="18" hidden="false" customHeight="true" outlineLevel="0" collapsed="false">
      <c r="B4" s="17" t="s">
        <v>196</v>
      </c>
      <c r="C4" s="76" t="n">
        <f aca="false">AVERAGE(PORTFOLIO_EXPOSURE!E3:E11)*SCENARIO_PARAMS!D12</f>
        <v>0.00363333333333333</v>
      </c>
      <c r="D4" s="78" t="s">
        <v>195</v>
      </c>
    </row>
    <row r="5" customFormat="false" ht="18" hidden="false" customHeight="true" outlineLevel="0" collapsed="false">
      <c r="B5" s="15" t="s">
        <v>197</v>
      </c>
      <c r="C5" s="76" t="n">
        <f aca="false">PORTFOLIO_EXPOSURE!C12</f>
        <v>135500</v>
      </c>
      <c r="D5" s="77" t="s">
        <v>198</v>
      </c>
    </row>
    <row r="6" customFormat="false" ht="18" hidden="false" customHeight="true" outlineLevel="0" collapsed="false">
      <c r="B6" s="17" t="s">
        <v>199</v>
      </c>
      <c r="C6" s="76" t="n">
        <f aca="false">COUNTIF(BCST_RULES!G3:G10,"FAIL")+COUNTIF(BCST_RULES!G3:G10,"WARN")</f>
        <v>3</v>
      </c>
      <c r="D6" s="78" t="s">
        <v>200</v>
      </c>
    </row>
    <row r="7" customFormat="false" ht="18" hidden="false" customHeight="true" outlineLevel="0" collapsed="false">
      <c r="B7" s="15" t="s">
        <v>201</v>
      </c>
      <c r="C7" s="76" t="n">
        <f aca="false">WATERFALL_PD!C8</f>
        <v>0.0124</v>
      </c>
      <c r="D7" s="77" t="s">
        <v>202</v>
      </c>
    </row>
    <row r="8" customFormat="false" ht="18" hidden="false" customHeight="true" outlineLevel="0" collapsed="false">
      <c r="B8" s="17" t="s">
        <v>203</v>
      </c>
      <c r="C8" s="76" t="n">
        <f aca="false">WATERFALL_PD!D8</f>
        <v>0.0382</v>
      </c>
      <c r="D8" s="78" t="s">
        <v>202</v>
      </c>
    </row>
    <row r="9" customFormat="false" ht="18" hidden="false" customHeight="true" outlineLevel="0" collapsed="false">
      <c r="B9" s="15" t="s">
        <v>204</v>
      </c>
      <c r="C9" s="76" t="n">
        <f aca="false">WATERFALL_PD!E8</f>
        <v>0.0711</v>
      </c>
      <c r="D9" s="77" t="s">
        <v>202</v>
      </c>
    </row>
    <row r="10" customFormat="false" ht="18" hidden="false" customHeight="true" outlineLevel="0" collapsed="false">
      <c r="B10" s="17" t="s">
        <v>205</v>
      </c>
      <c r="C10" s="76" t="n">
        <f aca="false">HEATMAP_EL!I9</f>
        <v>999</v>
      </c>
      <c r="D10" s="78" t="s">
        <v>206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2026-03-28T15:56:24Z</dcterms:created>
  <dc:creator>openpyxl</dc:creator>
  <dc:description/>
  <dc:language>en-US</dc:language>
  <cp:lastModifiedBy/>
  <dcterms:modified xsi:type="dcterms:W3CDTF">2026-03-28T15:56:56Z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